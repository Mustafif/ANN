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<sst xmlns="http://schemas.openxmlformats.org/spreadsheetml/2006/main" count="20" uniqueCount="20">
  <si>
    <t>sector</t>
  </si>
  <si>
    <t>period</t>
  </si>
  <si>
    <t>aic</t>
  </si>
  <si>
    <t>bic</t>
  </si>
  <si>
    <t>aic_init</t>
  </si>
  <si>
    <t>bic_init</t>
  </si>
  <si>
    <t>loss</t>
  </si>
  <si>
    <t>loss_init</t>
  </si>
  <si>
    <t>n_options</t>
  </si>
  <si>
    <t>n_returns</t>
  </si>
  <si>
    <t>n_samples</t>
  </si>
  <si>
    <t>Missing</t>
  </si>
  <si>
    <t>Finance</t>
  </si>
  <si>
    <t>Period1</t>
  </si>
  <si>
    <t>Period2</t>
  </si>
  <si>
    <t>Period3</t>
  </si>
  <si>
    <t>Health</t>
  </si>
  <si>
    <t>IT</t>
  </si>
  <si>
    <t>Industrial</t>
  </si>
  <si>
    <t>Retail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</si>
</sst>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1" fillId="0" borderId="1" numFmt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</row>
    <row r="2">
      <c r="A2" t="s">
        <v>12</v>
      </c>
      <c r="B2" t="s">
        <v>13</v>
      </c>
      <c r="C2">
        <v>-20.039999999999999</v>
      </c>
      <c r="D2">
        <v>8.7400000000000002</v>
      </c>
      <c r="E2">
        <v>-5.5</v>
      </c>
      <c r="F2">
        <v>14.359999999999999</v>
      </c>
      <c r="G2">
        <v>8242620.5599999996</v>
      </c>
      <c r="H2">
        <v>7449.54</v>
      </c>
      <c r="I2">
        <v>4670</v>
      </c>
      <c r="J2">
        <v>237</v>
      </c>
      <c r="K2">
        <v>18</v>
      </c>
      <c r="L2">
        <f t="shared" ref="L2:L9" si="0">20-K2</f>
        <v>2</v>
      </c>
    </row>
    <row r="3">
      <c r="A3" t="s">
        <v>12</v>
      </c>
      <c r="B3" t="s">
        <v>14</v>
      </c>
      <c r="C3">
        <v>-21.690000000000001</v>
      </c>
      <c r="D3">
        <v>15.83</v>
      </c>
      <c r="E3">
        <v>-3.7599999999999998</v>
      </c>
      <c r="F3">
        <v>27.469999999999999</v>
      </c>
      <c r="G3">
        <v>18129358.780000001</v>
      </c>
      <c r="H3">
        <v>-1233.8699999999999</v>
      </c>
      <c r="I3">
        <v>19254</v>
      </c>
      <c r="J3">
        <v>1329</v>
      </c>
      <c r="K3">
        <v>18</v>
      </c>
      <c r="L3">
        <f t="shared" si="0"/>
        <v>2</v>
      </c>
    </row>
    <row r="4">
      <c r="A4" t="s">
        <v>12</v>
      </c>
      <c r="B4" t="s">
        <v>15</v>
      </c>
      <c r="C4">
        <v>-19.73</v>
      </c>
      <c r="D4">
        <v>15.02</v>
      </c>
      <c r="E4">
        <v>-4.1399999999999997</v>
      </c>
      <c r="F4">
        <v>23.260000000000002</v>
      </c>
      <c r="G4">
        <v>5373977.9400000004</v>
      </c>
      <c r="H4">
        <v>5231.4700000000003</v>
      </c>
      <c r="I4">
        <v>12699</v>
      </c>
      <c r="J4">
        <v>697</v>
      </c>
      <c r="K4">
        <v>18</v>
      </c>
      <c r="L4">
        <f t="shared" si="0"/>
        <v>2</v>
      </c>
    </row>
    <row r="5">
      <c r="A5" t="s">
        <v>16</v>
      </c>
      <c r="B5" t="s">
        <v>13</v>
      </c>
      <c r="C5">
        <v>-19.27</v>
      </c>
      <c r="D5">
        <v>8.7599999999999998</v>
      </c>
      <c r="E5">
        <v>-2.8599999999999999</v>
      </c>
      <c r="F5">
        <v>18.600000000000001</v>
      </c>
      <c r="G5">
        <v>3865646.1099999999</v>
      </c>
      <c r="H5">
        <v>956.38</v>
      </c>
      <c r="I5">
        <v>2480</v>
      </c>
      <c r="J5">
        <v>270</v>
      </c>
      <c r="K5">
        <v>18</v>
      </c>
      <c r="L5">
        <f t="shared" si="0"/>
        <v>2</v>
      </c>
    </row>
    <row r="6">
      <c r="A6" t="s">
        <v>16</v>
      </c>
      <c r="B6" t="s">
        <v>14</v>
      </c>
      <c r="C6">
        <v>-19.77</v>
      </c>
      <c r="D6">
        <v>13.69</v>
      </c>
      <c r="E6">
        <v>-2.4199999999999999</v>
      </c>
      <c r="F6">
        <v>22.98</v>
      </c>
      <c r="G6">
        <v>7059458.96</v>
      </c>
      <c r="H6">
        <v>-1579.73</v>
      </c>
      <c r="I6">
        <v>10096</v>
      </c>
      <c r="J6">
        <v>1092</v>
      </c>
      <c r="K6">
        <v>19</v>
      </c>
      <c r="L6">
        <f t="shared" si="0"/>
        <v>1</v>
      </c>
    </row>
    <row r="7">
      <c r="A7" t="s">
        <v>16</v>
      </c>
      <c r="B7" t="s">
        <v>15</v>
      </c>
      <c r="C7">
        <v>-18.670000000000002</v>
      </c>
      <c r="D7">
        <v>11.880000000000001</v>
      </c>
      <c r="E7">
        <v>-3.3999999999999999</v>
      </c>
      <c r="F7">
        <v>22.289999999999999</v>
      </c>
      <c r="G7">
        <v>5228253.5099999998</v>
      </c>
      <c r="H7">
        <v>1930.4300000000001</v>
      </c>
      <c r="I7">
        <v>6144</v>
      </c>
      <c r="J7">
        <v>565</v>
      </c>
      <c r="K7">
        <v>20</v>
      </c>
      <c r="L7">
        <f t="shared" si="0"/>
        <v>0</v>
      </c>
    </row>
    <row r="8">
      <c r="A8" t="s">
        <v>17</v>
      </c>
      <c r="B8" t="s">
        <v>13</v>
      </c>
      <c r="C8">
        <v>-21.07</v>
      </c>
      <c r="D8">
        <v>10.83</v>
      </c>
      <c r="E8">
        <v>-2.8599999999999999</v>
      </c>
      <c r="F8">
        <v>18.66</v>
      </c>
      <c r="G8">
        <v>7857927.3399999999</v>
      </c>
      <c r="H8">
        <v>1640.24</v>
      </c>
      <c r="I8">
        <v>4804</v>
      </c>
      <c r="J8">
        <v>250</v>
      </c>
      <c r="K8">
        <v>17</v>
      </c>
      <c r="L8">
        <f t="shared" si="0"/>
        <v>3</v>
      </c>
    </row>
    <row r="9">
      <c r="A9" t="s">
        <v>17</v>
      </c>
      <c r="B9" t="s">
        <v>14</v>
      </c>
      <c r="C9">
        <v>-22.440000000000001</v>
      </c>
      <c r="D9">
        <v>16.02</v>
      </c>
      <c r="E9">
        <v>-6.9699999999999998</v>
      </c>
      <c r="F9">
        <v>17.219999999999999</v>
      </c>
      <c r="G9">
        <v>31319848.219999999</v>
      </c>
      <c r="H9">
        <v>5230.3000000000002</v>
      </c>
      <c r="I9">
        <v>27856</v>
      </c>
      <c r="J9">
        <v>1323</v>
      </c>
      <c r="K9">
        <v>19</v>
      </c>
      <c r="L9">
        <f t="shared" si="0"/>
        <v>1</v>
      </c>
    </row>
    <row r="10">
      <c r="A10" t="s">
        <v>17</v>
      </c>
      <c r="B10" t="s">
        <v>15</v>
      </c>
      <c r="C10">
        <v>-20.989999999999998</v>
      </c>
      <c r="D10">
        <v>16.109999999999999</v>
      </c>
      <c r="E10">
        <v>-3.7999999999999998</v>
      </c>
      <c r="F10">
        <v>24.190000000000001</v>
      </c>
      <c r="G10">
        <v>11096953.810000001</v>
      </c>
      <c r="H10">
        <v>3050.1500000000001</v>
      </c>
      <c r="I10">
        <v>23178</v>
      </c>
      <c r="J10">
        <v>757</v>
      </c>
      <c r="K10">
        <v>19</v>
      </c>
      <c r="L10">
        <f t="shared" ref="L10:L16" si="1">20-K10</f>
        <v>1</v>
      </c>
    </row>
    <row r="11">
      <c r="A11" t="s">
        <v>18</v>
      </c>
      <c r="B11" t="s">
        <v>13</v>
      </c>
      <c r="C11">
        <v>-17.539999999999999</v>
      </c>
      <c r="D11">
        <v>8.4199999999999999</v>
      </c>
      <c r="E11">
        <v>-2.75</v>
      </c>
      <c r="F11">
        <v>17.699999999999999</v>
      </c>
      <c r="G11">
        <v>2785515.1800000002</v>
      </c>
      <c r="H11">
        <v>1258.6800000000001</v>
      </c>
      <c r="I11">
        <v>2115</v>
      </c>
      <c r="J11">
        <v>252</v>
      </c>
      <c r="K11">
        <v>20</v>
      </c>
      <c r="L11">
        <f t="shared" si="1"/>
        <v>0</v>
      </c>
    </row>
    <row r="12">
      <c r="A12" t="s">
        <v>18</v>
      </c>
      <c r="B12" t="s">
        <v>14</v>
      </c>
      <c r="C12">
        <v>-19.300000000000001</v>
      </c>
      <c r="D12">
        <v>13.35</v>
      </c>
      <c r="E12">
        <v>-3.25</v>
      </c>
      <c r="F12">
        <v>25.210000000000001</v>
      </c>
      <c r="G12">
        <v>8723637.5299999993</v>
      </c>
      <c r="H12">
        <v>42.469999999999999</v>
      </c>
      <c r="I12">
        <v>8228</v>
      </c>
      <c r="J12">
        <v>922</v>
      </c>
      <c r="K12">
        <v>20</v>
      </c>
      <c r="L12">
        <f t="shared" si="1"/>
        <v>0</v>
      </c>
    </row>
    <row r="13">
      <c r="A13" t="s">
        <v>18</v>
      </c>
      <c r="B13" t="s">
        <v>15</v>
      </c>
      <c r="C13">
        <v>-17.300000000000001</v>
      </c>
      <c r="D13">
        <v>10.51</v>
      </c>
      <c r="E13">
        <v>-3.3599999999999999</v>
      </c>
      <c r="F13">
        <v>20.73</v>
      </c>
      <c r="G13">
        <v>3401189.3199999998</v>
      </c>
      <c r="H13">
        <v>2192.8400000000001</v>
      </c>
      <c r="I13">
        <v>4129</v>
      </c>
      <c r="J13">
        <v>432</v>
      </c>
      <c r="K13">
        <v>20</v>
      </c>
      <c r="L13">
        <f t="shared" si="1"/>
        <v>0</v>
      </c>
    </row>
    <row r="14">
      <c r="A14" t="s">
        <v>19</v>
      </c>
      <c r="B14" t="s">
        <v>13</v>
      </c>
      <c r="C14">
        <v>-18.239999999999998</v>
      </c>
      <c r="D14">
        <v>10.16</v>
      </c>
      <c r="E14">
        <v>-3.6699999999999999</v>
      </c>
      <c r="F14">
        <v>17.109999999999999</v>
      </c>
      <c r="G14">
        <v>2734190.4199999999</v>
      </c>
      <c r="H14">
        <v>2337.4299999999998</v>
      </c>
      <c r="I14">
        <v>3115</v>
      </c>
      <c r="J14">
        <v>259</v>
      </c>
      <c r="K14">
        <v>18</v>
      </c>
      <c r="L14">
        <f t="shared" si="1"/>
        <v>2</v>
      </c>
    </row>
    <row r="15">
      <c r="A15" t="s">
        <v>19</v>
      </c>
      <c r="B15" t="s">
        <v>14</v>
      </c>
      <c r="C15">
        <v>-20.84</v>
      </c>
      <c r="D15">
        <v>15.699999999999999</v>
      </c>
      <c r="E15">
        <v>-5.2199999999999998</v>
      </c>
      <c r="F15">
        <v>23.030000000000001</v>
      </c>
      <c r="G15">
        <v>13074669.300000001</v>
      </c>
      <c r="H15">
        <v>-802.95000000000005</v>
      </c>
      <c r="I15">
        <v>17101</v>
      </c>
      <c r="J15">
        <v>1266</v>
      </c>
      <c r="K15">
        <v>18</v>
      </c>
      <c r="L15">
        <f t="shared" si="1"/>
        <v>2</v>
      </c>
    </row>
    <row r="16">
      <c r="A16" t="s">
        <v>19</v>
      </c>
      <c r="B16" t="s">
        <v>15</v>
      </c>
      <c r="C16">
        <v>-19.219999999999999</v>
      </c>
      <c r="D16">
        <v>15.09</v>
      </c>
      <c r="E16">
        <v>-4.6100000000000003</v>
      </c>
      <c r="F16">
        <v>22.960000000000001</v>
      </c>
      <c r="G16">
        <v>5998765.5700000003</v>
      </c>
      <c r="H16">
        <v>3637.2600000000002</v>
      </c>
      <c r="I16">
        <v>13870</v>
      </c>
      <c r="J16">
        <v>675</v>
      </c>
      <c r="K16">
        <v>18</v>
      </c>
      <c r="L16">
        <f t="shared" si="1"/>
        <v>2</v>
      </c>
    </row>
    <row r="17" ht="14.25">
      <c r="K17">
        <f>SUM(K2:K16)</f>
        <v>280</v>
      </c>
      <c r="L17">
        <f>SUM(L2:L16)</f>
        <v>20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2</cp:revision>
  <dcterms:created xsi:type="dcterms:W3CDTF">2026-08-13T21:50:07Z</dcterms:created>
  <dcterms:modified xsi:type="dcterms:W3CDTF">2026-08-14T13:48:21Z</dcterms:modified>
</cp:coreProperties>
</file>